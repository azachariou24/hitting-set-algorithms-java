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\OneDrive\Desktop\Anastasis_Zachariou_EPL236-hw5-partB\"/>
    </mc:Choice>
  </mc:AlternateContent>
  <xr:revisionPtr revIDLastSave="0" documentId="13_ncr:1_{7613686E-32E8-430A-8E15-6018120F38E3}" xr6:coauthVersionLast="47" xr6:coauthVersionMax="47" xr10:uidLastSave="{00000000-0000-0000-0000-000000000000}"/>
  <bookViews>
    <workbookView xWindow="-110" yWindow="-110" windowWidth="25820" windowHeight="15500" xr2:uid="{A13EAD0C-DAFA-45C1-8FE5-F1B56B0D53CE}"/>
  </bookViews>
  <sheets>
    <sheet name="Experiment 1(a)" sheetId="1" r:id="rId1"/>
    <sheet name="Experiment 1(b)" sheetId="4" r:id="rId2"/>
    <sheet name="Experiment 2(a)" sheetId="2" r:id="rId3"/>
    <sheet name="Experiment 2(b)" sheetId="3" r:id="rId4"/>
  </sheets>
  <definedNames>
    <definedName name="_xlchart.v1.0" hidden="1">'Experiment 2(a)'!$D$4:$D$13</definedName>
    <definedName name="_xlchart.v1.1" hidden="1">'Experiment 2(a)'!$D$4:$D$13</definedName>
    <definedName name="_xlchart.v1.10" hidden="1">'Experiment 2(b)'!$H$4:$H$13</definedName>
    <definedName name="_xlchart.v1.11" hidden="1">'Experiment 2(b)'!$D$4:$D$13</definedName>
    <definedName name="_xlchart.v1.12" hidden="1">'Experiment 2(b)'!$J$4:$J$13</definedName>
    <definedName name="_xlchart.v1.13" hidden="1">'Experiment 2(b)'!$D$4:$D$13</definedName>
    <definedName name="_xlchart.v1.14" hidden="1">'Experiment 2(b)'!$F$4:$F$13</definedName>
    <definedName name="_xlchart.v1.15" hidden="1">'Experiment 2(b)'!$H$4:$H$13</definedName>
    <definedName name="_xlchart.v1.16" hidden="1">'Experiment 2(b)'!$J$4:$J$13</definedName>
    <definedName name="_xlchart.v1.2" hidden="1">'Experiment 2(a)'!$F$4:$F$13</definedName>
    <definedName name="_xlchart.v1.3" hidden="1">'Experiment 2(a)'!$H$4:$H$13</definedName>
    <definedName name="_xlchart.v1.4" hidden="1">'Experiment 2(a)'!$J$4:$J$13</definedName>
    <definedName name="_xlchart.v1.5" hidden="1">'Experiment 2(a)'!$F$4:$F$13</definedName>
    <definedName name="_xlchart.v1.6" hidden="1">'Experiment 2(a)'!$J$4:$J$13</definedName>
    <definedName name="_xlchart.v1.7" hidden="1">'Experiment 2(a)'!$H$4:$H$13</definedName>
    <definedName name="_xlchart.v1.8" hidden="1">'Experiment 2(a)'!$J$4:$J$13</definedName>
    <definedName name="_xlchart.v1.9" hidden="1">'Experiment 2(b)'!$F$4:$F$13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H14" i="4"/>
  <c r="J13" i="4"/>
  <c r="H13" i="4"/>
  <c r="F13" i="4"/>
  <c r="D13" i="4"/>
  <c r="J12" i="4"/>
  <c r="H12" i="4"/>
  <c r="F12" i="4"/>
  <c r="D12" i="4"/>
  <c r="J11" i="4"/>
  <c r="H11" i="4"/>
  <c r="F11" i="4"/>
  <c r="D11" i="4"/>
  <c r="J10" i="4"/>
  <c r="H10" i="4"/>
  <c r="F10" i="4"/>
  <c r="D10" i="4"/>
  <c r="J9" i="4"/>
  <c r="H9" i="4"/>
  <c r="F9" i="4"/>
  <c r="D9" i="4"/>
  <c r="J8" i="4"/>
  <c r="H8" i="4"/>
  <c r="F8" i="4"/>
  <c r="D8" i="4"/>
  <c r="J7" i="4"/>
  <c r="H7" i="4"/>
  <c r="F7" i="4"/>
  <c r="D7" i="4"/>
  <c r="J6" i="4"/>
  <c r="H6" i="4"/>
  <c r="F6" i="4"/>
  <c r="D6" i="4"/>
  <c r="J5" i="4"/>
  <c r="H5" i="4"/>
  <c r="F5" i="4"/>
  <c r="D5" i="4"/>
  <c r="J5" i="3"/>
  <c r="J6" i="3"/>
  <c r="J7" i="3"/>
  <c r="J8" i="3"/>
  <c r="J9" i="3"/>
  <c r="J10" i="3"/>
  <c r="J11" i="3"/>
  <c r="J12" i="3"/>
  <c r="J13" i="3"/>
  <c r="J4" i="3"/>
  <c r="H5" i="3"/>
  <c r="H6" i="3"/>
  <c r="H7" i="3"/>
  <c r="H8" i="3"/>
  <c r="H9" i="3"/>
  <c r="H10" i="3"/>
  <c r="H11" i="3"/>
  <c r="H12" i="3"/>
  <c r="H13" i="3"/>
  <c r="H4" i="3"/>
  <c r="F5" i="3"/>
  <c r="F6" i="3"/>
  <c r="F7" i="3"/>
  <c r="F8" i="3"/>
  <c r="F9" i="3"/>
  <c r="F10" i="3"/>
  <c r="F11" i="3"/>
  <c r="F12" i="3"/>
  <c r="F13" i="3"/>
  <c r="F4" i="3"/>
  <c r="D5" i="3"/>
  <c r="D6" i="3"/>
  <c r="D7" i="3"/>
  <c r="D8" i="3"/>
  <c r="D9" i="3"/>
  <c r="D10" i="3"/>
  <c r="D11" i="3"/>
  <c r="D12" i="3"/>
  <c r="D13" i="3"/>
  <c r="D4" i="3"/>
  <c r="J5" i="2"/>
  <c r="J6" i="2"/>
  <c r="J7" i="2"/>
  <c r="J8" i="2"/>
  <c r="J9" i="2"/>
  <c r="J10" i="2"/>
  <c r="J11" i="2"/>
  <c r="J12" i="2"/>
  <c r="J13" i="2"/>
  <c r="J4" i="2"/>
  <c r="H5" i="2"/>
  <c r="H6" i="2"/>
  <c r="H7" i="2"/>
  <c r="H8" i="2"/>
  <c r="H9" i="2"/>
  <c r="H10" i="2"/>
  <c r="H11" i="2"/>
  <c r="H12" i="2"/>
  <c r="H13" i="2"/>
  <c r="H4" i="2"/>
  <c r="F5" i="2"/>
  <c r="F6" i="2"/>
  <c r="F7" i="2"/>
  <c r="F8" i="2"/>
  <c r="F9" i="2"/>
  <c r="F10" i="2"/>
  <c r="F11" i="2"/>
  <c r="F12" i="2"/>
  <c r="F13" i="2"/>
  <c r="F4" i="2"/>
  <c r="D5" i="2"/>
  <c r="D6" i="2"/>
  <c r="D7" i="2"/>
  <c r="D8" i="2"/>
  <c r="D9" i="2"/>
  <c r="D10" i="2"/>
  <c r="D11" i="2"/>
  <c r="D12" i="2"/>
  <c r="D13" i="2"/>
  <c r="D4" i="2"/>
  <c r="J14" i="1"/>
  <c r="J6" i="1"/>
  <c r="J7" i="1"/>
  <c r="J8" i="1"/>
  <c r="J9" i="1"/>
  <c r="J10" i="1"/>
  <c r="J11" i="1"/>
  <c r="J12" i="1"/>
  <c r="J13" i="1"/>
  <c r="J5" i="1"/>
  <c r="H6" i="1"/>
  <c r="H7" i="1"/>
  <c r="H8" i="1"/>
  <c r="H9" i="1"/>
  <c r="H10" i="1"/>
  <c r="H11" i="1"/>
  <c r="H12" i="1"/>
  <c r="H13" i="1"/>
  <c r="H14" i="1"/>
  <c r="H15" i="1"/>
  <c r="H5" i="1"/>
  <c r="F6" i="1"/>
  <c r="F7" i="1"/>
  <c r="F8" i="1"/>
  <c r="F9" i="1"/>
  <c r="F10" i="1"/>
  <c r="F11" i="1"/>
  <c r="F12" i="1"/>
  <c r="F13" i="1"/>
  <c r="F5" i="1"/>
  <c r="D6" i="1"/>
  <c r="D7" i="1"/>
  <c r="D8" i="1"/>
  <c r="D9" i="1"/>
  <c r="D10" i="1"/>
  <c r="D11" i="1"/>
  <c r="D12" i="1"/>
  <c r="D13" i="1"/>
  <c r="D5" i="1"/>
</calcChain>
</file>

<file path=xl/sharedStrings.xml><?xml version="1.0" encoding="utf-8"?>
<sst xmlns="http://schemas.openxmlformats.org/spreadsheetml/2006/main" count="62" uniqueCount="26">
  <si>
    <t>k</t>
  </si>
  <si>
    <t>algorithm1 (ms)</t>
  </si>
  <si>
    <t>algorithm1 (s)</t>
  </si>
  <si>
    <t>algorithm2 (ms)</t>
  </si>
  <si>
    <t>algorithm2 (s)</t>
  </si>
  <si>
    <t>algorithm3 (ms)</t>
  </si>
  <si>
    <t>algorithm3 (s)</t>
  </si>
  <si>
    <t>algorithm4 (ms)</t>
  </si>
  <si>
    <t>algorithm4 (s)</t>
  </si>
  <si>
    <t>-</t>
  </si>
  <si>
    <t>algorithm1 (ms) Intel</t>
  </si>
  <si>
    <t>algorithm1 (s) Intel</t>
  </si>
  <si>
    <t>algorithm1 (ms) AMD</t>
  </si>
  <si>
    <t>algorithm1 (s) AMD</t>
  </si>
  <si>
    <t>algorithm4 (ms) Intel</t>
  </si>
  <si>
    <t>algorithm3 (s) Intel</t>
  </si>
  <si>
    <t>algorithm4 (ms) AMD</t>
  </si>
  <si>
    <t>algorithm4 (s) AMD</t>
  </si>
  <si>
    <t>algorithm1 (min)</t>
  </si>
  <si>
    <t>algorithm2 (min)</t>
  </si>
  <si>
    <t>algorithm3 (min)</t>
  </si>
  <si>
    <t>algorithm4 (min)</t>
  </si>
  <si>
    <t>Experiment 1 (a)</t>
  </si>
  <si>
    <t>Experiment 1 (b)</t>
  </si>
  <si>
    <t>Experiment 2 (Algorithm 1: Subset Without Random Element Selection)</t>
  </si>
  <si>
    <t>Experiment 2 (Algorithm 1: Subset With Random Element Selection)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</si>
</sst>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3CC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E92E"/>
      <color rgb="FFC3CC5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Experiment 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Algorithm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'Experiment 1(a)'!$D$5:$D$13</c:f>
              <c:numCache>
                <c:formatCode>General</c:formatCode>
                <c:ptCount val="9"/>
                <c:pt idx="0">
                  <c:v>3.1E-4</c:v>
                </c:pt>
                <c:pt idx="1">
                  <c:v>2.81E-3</c:v>
                </c:pt>
                <c:pt idx="2">
                  <c:v>1.537E-2</c:v>
                </c:pt>
                <c:pt idx="3">
                  <c:v>5.5159999999999994E-2</c:v>
                </c:pt>
                <c:pt idx="4">
                  <c:v>0.44893</c:v>
                </c:pt>
                <c:pt idx="5">
                  <c:v>5.7673300000000003</c:v>
                </c:pt>
                <c:pt idx="6">
                  <c:v>66.479160000000007</c:v>
                </c:pt>
                <c:pt idx="7">
                  <c:v>687.09105</c:v>
                </c:pt>
                <c:pt idx="8">
                  <c:v>7146.8341200000004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2-490A-8892-64B83832F95D}"/>
            </c:ext>
          </c:extLst>
        </c:ser>
        <c:ser>
          <c:idx val="2"/>
          <c:order val="2"/>
          <c:tx>
            <c:v>Algorithm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'Experiment 1(a)'!$H$5:$H$15</c:f>
              <c:numCache>
                <c:formatCode>General</c:formatCode>
                <c:ptCount val="11"/>
                <c:pt idx="0">
                  <c:v>2.9999999999999997E-4</c:v>
                </c:pt>
                <c:pt idx="1">
                  <c:v>1.08E-3</c:v>
                </c:pt>
                <c:pt idx="2">
                  <c:v>6.7400000000000003E-3</c:v>
                </c:pt>
                <c:pt idx="3">
                  <c:v>1.797E-2</c:v>
                </c:pt>
                <c:pt idx="4">
                  <c:v>9.7629999999999995E-2</c:v>
                </c:pt>
                <c:pt idx="5">
                  <c:v>0.73150000000000004</c:v>
                </c:pt>
                <c:pt idx="6">
                  <c:v>5.7412200000000002</c:v>
                </c:pt>
                <c:pt idx="7">
                  <c:v>45.68768</c:v>
                </c:pt>
                <c:pt idx="8">
                  <c:v>377.05255999999997</c:v>
                </c:pt>
                <c:pt idx="9">
                  <c:v>3427.4980499999997</c:v>
                </c:pt>
                <c:pt idx="10">
                  <c:v>318330.34938999999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62-490A-8892-64B83832F95D}"/>
            </c:ext>
          </c:extLst>
        </c:ser>
        <c:ser>
          <c:idx val="3"/>
          <c:order val="3"/>
          <c:tx>
            <c:v>Algorithm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'Experiment 1(a)'!$J$5:$J$14</c:f>
              <c:numCache>
                <c:formatCode>General</c:formatCode>
                <c:ptCount val="10"/>
                <c:pt idx="0">
                  <c:v>8.1999999999999998E-4</c:v>
                </c:pt>
                <c:pt idx="1">
                  <c:v>4.3299999999999996E-3</c:v>
                </c:pt>
                <c:pt idx="2">
                  <c:v>1.6500000000000001E-2</c:v>
                </c:pt>
                <c:pt idx="3">
                  <c:v>4.8520000000000001E-2</c:v>
                </c:pt>
                <c:pt idx="4">
                  <c:v>0.29902999999999996</c:v>
                </c:pt>
                <c:pt idx="5">
                  <c:v>2.0748899999999999</c:v>
                </c:pt>
                <c:pt idx="6">
                  <c:v>16.62331</c:v>
                </c:pt>
                <c:pt idx="7">
                  <c:v>133.70298</c:v>
                </c:pt>
                <c:pt idx="8">
                  <c:v>1090.25172</c:v>
                </c:pt>
                <c:pt idx="9">
                  <c:v>9572.2253299999993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62-490A-8892-64B83832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325248"/>
        <c:axId val="406731184"/>
      </c:lineChart>
      <c:lineChart>
        <c:grouping val="standard"/>
        <c:varyColors val="0"/>
        <c:ser>
          <c:idx val="1"/>
          <c:order val="1"/>
          <c:tx>
            <c:v>Algorithm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'Experiment 1(a)'!$F$5:$F$13</c:f>
              <c:numCache>
                <c:formatCode>General</c:formatCode>
                <c:ptCount val="9"/>
                <c:pt idx="0">
                  <c:v>8.1000000000000006E-4</c:v>
                </c:pt>
                <c:pt idx="1">
                  <c:v>1.7700000000000001E-3</c:v>
                </c:pt>
                <c:pt idx="2">
                  <c:v>1.4060000000000001E-2</c:v>
                </c:pt>
                <c:pt idx="3">
                  <c:v>5.722E-2</c:v>
                </c:pt>
                <c:pt idx="4">
                  <c:v>0.53198000000000001</c:v>
                </c:pt>
                <c:pt idx="5">
                  <c:v>5.99214</c:v>
                </c:pt>
                <c:pt idx="6">
                  <c:v>64.111059999999995</c:v>
                </c:pt>
                <c:pt idx="7">
                  <c:v>807.36939000000007</c:v>
                </c:pt>
                <c:pt idx="8">
                  <c:v>10414.82604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2-490A-8892-64B83832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73104"/>
        <c:axId val="753672144"/>
      </c:lineChart>
      <c:catAx>
        <c:axId val="74732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Axis of variable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406731184"/>
        <c:crosses val="autoZero"/>
        <c:auto val="1"/>
        <c:lblAlgn val="ctr"/>
        <c:lblOffset val="100"/>
        <c:noMultiLvlLbl val="0"/>
      </c:catAx>
      <c:valAx>
        <c:axId val="4067311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Seconds Axis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747325248"/>
        <c:crosses val="autoZero"/>
        <c:crossBetween val="between"/>
      </c:valAx>
      <c:valAx>
        <c:axId val="753672144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Seconds Axis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753673104"/>
        <c:crosses val="max"/>
        <c:crossBetween val="between"/>
      </c:valAx>
      <c:catAx>
        <c:axId val="753673104"/>
        <c:scaling>
          <c:orientation val="minMax"/>
        </c:scaling>
        <c:delete val="1"/>
        <c:axPos val="b"/>
        <c:majorTickMark val="none"/>
        <c:minorTickMark val="none"/>
        <c:tickLblPos val="nextTo"/>
        <c:crossAx val="7536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ysClr val="windowText" lastClr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Experiment 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Algorithm 1 AMD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'Experiment 1(b)'!$E$5:$E$13</c:f>
              <c:numCache>
                <c:formatCode>General</c:formatCode>
                <c:ptCount val="9"/>
                <c:pt idx="0">
                  <c:v>1.31</c:v>
                </c:pt>
                <c:pt idx="1">
                  <c:v>3.89</c:v>
                </c:pt>
                <c:pt idx="2">
                  <c:v>44.98</c:v>
                </c:pt>
                <c:pt idx="3">
                  <c:v>143.97</c:v>
                </c:pt>
                <c:pt idx="4">
                  <c:v>1093.5</c:v>
                </c:pt>
                <c:pt idx="5">
                  <c:v>18838.57</c:v>
                </c:pt>
                <c:pt idx="6">
                  <c:v>172158.92</c:v>
                </c:pt>
                <c:pt idx="7">
                  <c:v>2282284.44</c:v>
                </c:pt>
                <c:pt idx="8">
                  <c:v>17479747.890000001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E0-48B0-9DFE-8514414B667F}"/>
            </c:ext>
          </c:extLst>
        </c:ser>
        <c:ser>
          <c:idx val="1"/>
          <c:order val="1"/>
          <c:tx>
            <c:v>Algorithm 1 Intel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'Experiment 1(b)'!$C$5:$C$13</c:f>
              <c:numCache>
                <c:formatCode>General</c:formatCode>
                <c:ptCount val="9"/>
                <c:pt idx="0">
                  <c:v>0.31</c:v>
                </c:pt>
                <c:pt idx="1">
                  <c:v>2.81</c:v>
                </c:pt>
                <c:pt idx="2">
                  <c:v>15.37</c:v>
                </c:pt>
                <c:pt idx="3">
                  <c:v>55.16</c:v>
                </c:pt>
                <c:pt idx="4">
                  <c:v>448.93</c:v>
                </c:pt>
                <c:pt idx="5">
                  <c:v>5767.33</c:v>
                </c:pt>
                <c:pt idx="6">
                  <c:v>66479.16</c:v>
                </c:pt>
                <c:pt idx="7">
                  <c:v>687091.05</c:v>
                </c:pt>
                <c:pt idx="8">
                  <c:v>7146834.1200000001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E0-48B0-9DFE-8514414B667F}"/>
            </c:ext>
          </c:extLst>
        </c:ser>
        <c:ser>
          <c:idx val="2"/>
          <c:order val="2"/>
          <c:tx>
            <c:v>Algorithm 4 Intel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'Experiment 1(b)'!$H$5:$H$14</c:f>
              <c:numCache>
                <c:formatCode>General</c:formatCode>
                <c:ptCount val="10"/>
                <c:pt idx="0">
                  <c:v>8.1999999999999998E-4</c:v>
                </c:pt>
                <c:pt idx="1">
                  <c:v>4.3299999999999996E-3</c:v>
                </c:pt>
                <c:pt idx="2">
                  <c:v>1.6500000000000001E-2</c:v>
                </c:pt>
                <c:pt idx="3">
                  <c:v>4.8520000000000001E-2</c:v>
                </c:pt>
                <c:pt idx="4">
                  <c:v>0.29902999999999996</c:v>
                </c:pt>
                <c:pt idx="5">
                  <c:v>2.0748899999999999</c:v>
                </c:pt>
                <c:pt idx="6">
                  <c:v>16.62331</c:v>
                </c:pt>
                <c:pt idx="7">
                  <c:v>133.70298</c:v>
                </c:pt>
                <c:pt idx="8">
                  <c:v>1090.25172</c:v>
                </c:pt>
                <c:pt idx="9">
                  <c:v>9572.2253299999993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E0-48B0-9DFE-8514414B667F}"/>
            </c:ext>
          </c:extLst>
        </c:ser>
        <c:ser>
          <c:idx val="3"/>
          <c:order val="3"/>
          <c:tx>
            <c:v>Algorithm 4 AMD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'Experiment 1(b)'!$J$5:$J$14</c:f>
              <c:numCache>
                <c:formatCode>General</c:formatCode>
                <c:ptCount val="10"/>
                <c:pt idx="0">
                  <c:v>9.7999999999999997E-4</c:v>
                </c:pt>
                <c:pt idx="1">
                  <c:v>5.79E-3</c:v>
                </c:pt>
                <c:pt idx="2">
                  <c:v>3.2740000000000005E-2</c:v>
                </c:pt>
                <c:pt idx="3">
                  <c:v>0.11863</c:v>
                </c:pt>
                <c:pt idx="4">
                  <c:v>0.79288000000000003</c:v>
                </c:pt>
                <c:pt idx="5">
                  <c:v>6.12615</c:v>
                </c:pt>
                <c:pt idx="6">
                  <c:v>48.802489999999999</c:v>
                </c:pt>
                <c:pt idx="7">
                  <c:v>402.55360999999999</c:v>
                </c:pt>
                <c:pt idx="8">
                  <c:v>3579.7036400000002</c:v>
                </c:pt>
                <c:pt idx="9">
                  <c:v>32324.839620000002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E0-48B0-9DFE-8514414B6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325248"/>
        <c:axId val="406731184"/>
      </c:lineChart>
      <c:catAx>
        <c:axId val="74732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Axis of variable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406731184"/>
        <c:crosses val="autoZero"/>
        <c:auto val="1"/>
        <c:lblAlgn val="ctr"/>
        <c:lblOffset val="100"/>
        <c:noMultiLvlLbl val="0"/>
      </c:catAx>
      <c:valAx>
        <c:axId val="4067311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Seconds Axis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7473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ysClr val="windowText" lastClr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_xlchart.v1.3</cx:f>
      </cx:numDim>
    </cx:data>
    <cx:data id="3">
      <cx:numDim type="val">
        <cx:f>_xlchart.v1.4</cx:f>
      </cx:numDim>
    </cx:data>
  </cx:chartData>
  <cx:chart>
    <cx:title pos="t" align="ctr" overlay="0">
      <cx:tx>
        <cx:txData>
          <cx:v>Experiment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Experiment 2</a:t>
          </a:r>
        </a:p>
      </cx:txPr>
    </cx:title>
    <cx:plotArea>
      <cx:plotAreaRegion>
        <cx:series layoutId="boxWhisker" uniqueId="{00000001-41EE-41F1-8395-F48864A8C2E6}">
          <cx:tx>
            <cx:txData>
              <cx:f/>
              <cx:v>Algorithm 1</cx:v>
            </cx:txData>
          </cx:tx>
          <cx:spPr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  <cx:series layoutId="boxWhisker" uniqueId="{00000002-41EE-41F1-8395-F48864A8C2E6}">
          <cx:tx>
            <cx:txData>
              <cx:f/>
              <cx:v>Algorithm 2</cx:v>
            </cx:txData>
          </cx:tx>
          <cx:spPr>
            <a:ln w="28575">
              <a:solidFill>
                <a:schemeClr val="tx1"/>
              </a:solidFill>
            </a:ln>
          </cx:spPr>
          <cx:dataId val="1"/>
          <cx:layoutPr>
            <cx:visibility meanMarker="1" nonoutliers="0" outliers="0"/>
            <cx:statistics quartileMethod="exclusive"/>
          </cx:layoutPr>
        </cx:series>
        <cx:series layoutId="boxWhisker" uniqueId="{00000003-41EE-41F1-8395-F48864A8C2E6}">
          <cx:tx>
            <cx:txData>
              <cx:f/>
              <cx:v>Algorithm 3</cx:v>
            </cx:txData>
          </cx:tx>
          <cx:spPr>
            <a:solidFill>
              <a:schemeClr val="accent6">
                <a:lumMod val="75000"/>
              </a:schemeClr>
            </a:solidFill>
            <a:ln w="28575">
              <a:solidFill>
                <a:schemeClr val="tx1"/>
              </a:solidFill>
            </a:ln>
          </cx:spPr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00000004-41EE-41F1-8395-F48864A8C2E6}">
          <cx:tx>
            <cx:txData>
              <cx:f/>
              <cx:v>Algorithm 4</cx:v>
            </cx:txData>
          </cx:tx>
          <cx:spPr>
            <a:solidFill>
              <a:srgbClr val="FF0000"/>
            </a:solidFill>
            <a:ln w="28575">
              <a:solidFill>
                <a:schemeClr val="tx1"/>
              </a:solidFill>
            </a:ln>
          </cx:spPr>
          <cx:dataId val="3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" min="0"/>
        <cx:title>
          <cx:tx>
            <cx:txData>
              <cx:v>Minutes Axis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Minutes Axis </a:t>
              </a:r>
            </a:p>
          </cx:txPr>
        </cx:title>
        <cx:majorGridlines/>
        <cx:tickLabels/>
        <cx:numFmt formatCode="General" sourceLinked="0"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Algorithm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1</a:t>
          </a:r>
        </a:p>
      </cx:txPr>
    </cx:title>
    <cx:plotArea>
      <cx:plotAreaRegion>
        <cx:series layoutId="boxWhisker" uniqueId="{00000000-DC9B-4C10-9E00-38F1EBD9D411}">
          <cx:tx>
            <cx:txData>
              <cx:f/>
              <cx:v>Algorithm 1</cx:v>
            </cx:txData>
          </cx:tx>
          <cx:spPr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Algorithm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2</a:t>
          </a:r>
        </a:p>
      </cx:txPr>
    </cx:title>
    <cx:plotArea>
      <cx:plotAreaRegion>
        <cx:series layoutId="boxWhisker" uniqueId="{00000000-EC15-4026-8FE0-0D9109761CC8}">
          <cx:tx>
            <cx:txData>
              <cx:f/>
              <cx:v>Algorithm 2</cx:v>
            </cx:txData>
          </cx:tx>
          <cx:spPr>
            <a:solidFill>
              <a:schemeClr val="accent2"/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 min="3.3333300000000017e-0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Algorithm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3</a:t>
          </a:r>
        </a:p>
      </cx:txPr>
    </cx:title>
    <cx:plotArea>
      <cx:plotAreaRegion>
        <cx:series layoutId="boxWhisker" uniqueId="{00000000-A65F-4F7C-B461-89C7C633C342}">
          <cx:tx>
            <cx:txData>
              <cx:f/>
              <cx:v>Algorithm 3</cx:v>
            </cx:txData>
          </cx:tx>
          <cx:spPr>
            <a:solidFill>
              <a:schemeClr val="accent6">
                <a:lumMod val="75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01400000000000000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Algorithm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4</a:t>
          </a:r>
        </a:p>
      </cx:txPr>
    </cx:title>
    <cx:plotArea>
      <cx:plotAreaRegion>
        <cx:series layoutId="boxWhisker" uniqueId="{00000000-ACAF-49DC-8AEB-F3A63DD83C2D}">
          <cx:tx>
            <cx:txData>
              <cx:f/>
              <cx:v>Algorithm 4</cx:v>
            </cx:txData>
          </cx:tx>
          <cx:spPr>
            <a:solidFill>
              <a:srgbClr val="FF0000"/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.0149999999999999" min="0.99349999999999994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Algorithm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1</a:t>
          </a:r>
        </a:p>
      </cx:txPr>
    </cx:title>
    <cx:plotArea>
      <cx:plotAreaRegion>
        <cx:series layoutId="boxWhisker" uniqueId="{00000001-41A0-4CCA-93F5-23FA537F3581}">
          <cx:tx>
            <cx:txData>
              <cx:f/>
              <cx:v>Algorithm 1</cx:v>
            </cx:txData>
          </cx:tx>
          <cx:spPr>
            <a:solidFill>
              <a:schemeClr val="accent1"/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Algorithm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2</a:t>
          </a:r>
        </a:p>
      </cx:txPr>
    </cx:title>
    <cx:plotArea>
      <cx:plotAreaRegion>
        <cx:series layoutId="boxWhisker" uniqueId="{00000001-75F9-4DCC-B7C3-44A37CAFFF31}">
          <cx:tx>
            <cx:txData>
              <cx:f/>
              <cx:v>Algorithm 2</cx:v>
            </cx:txData>
          </cx:tx>
          <cx:spPr>
            <a:solidFill>
              <a:schemeClr val="accent2"/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0.80000000000000004" min="3.3333300000000017e-0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Algorithm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3</a:t>
          </a:r>
        </a:p>
      </cx:txPr>
    </cx:title>
    <cx:plotArea>
      <cx:plotAreaRegion>
        <cx:series layoutId="boxWhisker" uniqueId="{00000002-DF73-420D-9096-E231E035B079}">
          <cx:tx>
            <cx:txData>
              <cx:f/>
              <cx:v>Algorithm 3</cx:v>
            </cx:txData>
          </cx:tx>
          <cx:spPr>
            <a:solidFill>
              <a:schemeClr val="accent6">
                <a:lumMod val="75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01400000000000000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Algorithm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Algorithm 4</a:t>
          </a:r>
        </a:p>
      </cx:txPr>
    </cx:title>
    <cx:plotArea>
      <cx:plotAreaRegion>
        <cx:series layoutId="boxWhisker" uniqueId="{00000001-25F8-4522-9739-7951E9E570D9}">
          <cx:tx>
            <cx:txData>
              <cx:f/>
              <cx:v>Algorithm 4</cx:v>
            </cx:txData>
          </cx:tx>
          <cx:spPr>
            <a:solidFill>
              <a:srgbClr val="FF0000"/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9999000000000000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_xlchart.v1.14</cx:f>
      </cx:numDim>
    </cx:data>
    <cx:data id="2">
      <cx:numDim type="val">
        <cx:f>_xlchart.v1.15</cx:f>
      </cx:numDim>
    </cx:data>
    <cx:data id="3">
      <cx:numDim type="val">
        <cx:f>_xlchart.v1.16</cx:f>
      </cx:numDim>
    </cx:data>
  </cx:chartData>
  <cx:chart>
    <cx:title pos="t" align="ctr" overlay="0">
      <cx:tx>
        <cx:txData>
          <cx:v>Experiment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Experiment 2</a:t>
          </a:r>
        </a:p>
      </cx:txPr>
    </cx:title>
    <cx:plotArea>
      <cx:plotAreaRegion>
        <cx:series layoutId="boxWhisker" uniqueId="{00000009-E9A5-46E5-B53B-C22FDFD4F4EA}" formatIdx="0">
          <cx:tx>
            <cx:txData>
              <cx:f/>
              <cx:v>Algorithm 1</cx:v>
            </cx:txData>
          </cx:tx>
          <cx:spPr>
            <a:ln w="19050">
              <a:solidFill>
                <a:schemeClr val="tx1"/>
              </a:solidFill>
            </a:ln>
          </cx:spPr>
          <cx:dataId val="0"/>
          <cx:layoutPr>
            <cx:visibility meanMarker="1" nonoutliers="0" outliers="0"/>
            <cx:statistics quartileMethod="exclusive"/>
          </cx:layoutPr>
        </cx:series>
        <cx:series layoutId="boxWhisker" uniqueId="{0000000D-E9A5-46E5-B53B-C22FDFD4F4EA}">
          <cx:tx>
            <cx:txData>
              <cx:f/>
              <cx:v>Algorithm 2</cx:v>
            </cx:txData>
          </cx:tx>
          <cx:spPr>
            <a:ln w="19050">
              <a:solidFill>
                <a:schemeClr val="tx1"/>
              </a:solidFill>
            </a:ln>
          </cx:spPr>
          <cx:dataId val="1"/>
          <cx:layoutPr>
            <cx:visibility meanMarker="1" nonoutliers="0" outliers="0"/>
            <cx:statistics quartileMethod="exclusive"/>
          </cx:layoutPr>
        </cx:series>
        <cx:series layoutId="boxWhisker" uniqueId="{0000000E-E9A5-46E5-B53B-C22FDFD4F4EA}">
          <cx:tx>
            <cx:txData>
              <cx:f/>
              <cx:v>Algorithm 3</cx:v>
            </cx:txData>
          </cx:tx>
          <cx:spPr>
            <a:ln w="19050">
              <a:solidFill>
                <a:schemeClr val="tx1"/>
              </a:solidFill>
            </a:ln>
          </cx:spPr>
          <cx:dataId val="2"/>
          <cx:layoutPr>
            <cx:visibility meanMarker="1" nonoutliers="0" outliers="0"/>
            <cx:statistics quartileMethod="exclusive"/>
          </cx:layoutPr>
        </cx:series>
        <cx:series layoutId="boxWhisker" uniqueId="{0000000F-E9A5-46E5-B53B-C22FDFD4F4EA}">
          <cx:tx>
            <cx:txData>
              <cx:f/>
              <cx:v>Algorithm4</cx:v>
            </cx:txData>
          </cx:tx>
          <cx:spPr>
            <a:solidFill>
              <a:srgbClr val="FF0000"/>
            </a:solidFill>
            <a:ln w="12700">
              <a:solidFill>
                <a:schemeClr val="tx1"/>
              </a:solidFill>
            </a:ln>
          </cx:spPr>
          <cx:dataId val="3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3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1" i="0" baseline="0">
                    <a:effectLst/>
                    <a:latin typeface="+mn-lt"/>
                  </a:rPr>
                  <a:t>Minutes Axis </a:t>
                </a:r>
                <a:endParaRPr lang="el-CY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microsoft.com/office/2014/relationships/chartEx" Target="../charts/chartEx7.xml"/><Relationship Id="rId1" Type="http://schemas.microsoft.com/office/2014/relationships/chartEx" Target="../charts/chartEx6.xml"/><Relationship Id="rId5" Type="http://schemas.microsoft.com/office/2014/relationships/chartEx" Target="../charts/chartEx10.xml"/><Relationship Id="rId4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419320</xdr:colOff>
      <xdr:row>16</xdr:row>
      <xdr:rowOff>21022</xdr:rowOff>
    </xdr:from>
    <xdr:to>
      <xdr:col>9</xdr:col>
      <xdr:colOff>76420</xdr:colOff>
      <xdr:row>39</xdr:row>
      <xdr:rowOff>3868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DAF8D-7F9C-7F0C-8D94-FBAAFDE1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419320</xdr:colOff>
      <xdr:row>16</xdr:row>
      <xdr:rowOff>21022</xdr:rowOff>
    </xdr:from>
    <xdr:to>
      <xdr:col>9</xdr:col>
      <xdr:colOff>76420</xdr:colOff>
      <xdr:row>39</xdr:row>
      <xdr:rowOff>3868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987DC-3059-4671-AC3A-58299D301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14</xdr:row>
      <xdr:rowOff>120650</xdr:rowOff>
    </xdr:from>
    <xdr:to>
      <xdr:col>10</xdr:col>
      <xdr:colOff>124829</xdr:colOff>
      <xdr:row>36</xdr:row>
      <xdr:rowOff>108547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7EFFDC-4297-C55F-0531-AF1379AFB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0" y="2863850"/>
              <a:ext cx="9370429" cy="40391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65690</xdr:colOff>
      <xdr:row>36</xdr:row>
      <xdr:rowOff>164222</xdr:rowOff>
    </xdr:from>
    <xdr:to>
      <xdr:col>3</xdr:col>
      <xdr:colOff>1160518</xdr:colOff>
      <xdr:row>53</xdr:row>
      <xdr:rowOff>43791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32B6CC7-FFCC-6E0D-E91E-B8BE8BBC3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90" y="6958722"/>
              <a:ext cx="3691978" cy="3010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10892</xdr:colOff>
      <xdr:row>36</xdr:row>
      <xdr:rowOff>175173</xdr:rowOff>
    </xdr:from>
    <xdr:to>
      <xdr:col>7</xdr:col>
      <xdr:colOff>624052</xdr:colOff>
      <xdr:row>53</xdr:row>
      <xdr:rowOff>54741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2ABA9C-832D-98AE-63FD-F1CCB499AD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5492" y="6969673"/>
              <a:ext cx="4150110" cy="3010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683565</xdr:colOff>
      <xdr:row>37</xdr:row>
      <xdr:rowOff>22225</xdr:rowOff>
    </xdr:from>
    <xdr:to>
      <xdr:col>12</xdr:col>
      <xdr:colOff>0</xdr:colOff>
      <xdr:row>53</xdr:row>
      <xdr:rowOff>65689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E3C2715-FE26-ED96-0FA1-DA70C67ECA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5115" y="7000875"/>
              <a:ext cx="4218635" cy="2989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64454</xdr:colOff>
      <xdr:row>54</xdr:row>
      <xdr:rowOff>101231</xdr:rowOff>
    </xdr:from>
    <xdr:to>
      <xdr:col>3</xdr:col>
      <xdr:colOff>1150363</xdr:colOff>
      <xdr:row>69</xdr:row>
      <xdr:rowOff>174854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ABDE9A8-87AF-7F95-B047-7D0201BDA0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54" y="10210431"/>
              <a:ext cx="3683059" cy="28358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32387</xdr:colOff>
      <xdr:row>34</xdr:row>
      <xdr:rowOff>86391</xdr:rowOff>
    </xdr:from>
    <xdr:to>
      <xdr:col>5</xdr:col>
      <xdr:colOff>39077</xdr:colOff>
      <xdr:row>53</xdr:row>
      <xdr:rowOff>87922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23B586D-5429-419E-BF90-11C9E63216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7" y="6512591"/>
              <a:ext cx="4889840" cy="35003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183187</xdr:colOff>
      <xdr:row>34</xdr:row>
      <xdr:rowOff>152400</xdr:rowOff>
    </xdr:from>
    <xdr:to>
      <xdr:col>9</xdr:col>
      <xdr:colOff>279400</xdr:colOff>
      <xdr:row>53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D4742DC-BC35-43CF-A257-6E746B23ED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6337" y="6578600"/>
              <a:ext cx="4985713" cy="347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59951</xdr:colOff>
      <xdr:row>54</xdr:row>
      <xdr:rowOff>69849</xdr:rowOff>
    </xdr:from>
    <xdr:to>
      <xdr:col>4</xdr:col>
      <xdr:colOff>1092200</xdr:colOff>
      <xdr:row>72</xdr:row>
      <xdr:rowOff>120648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27CF9CC-4863-4395-80EF-678416564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51" y="10179049"/>
              <a:ext cx="4816849" cy="336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107706</xdr:colOff>
      <xdr:row>54</xdr:row>
      <xdr:rowOff>64976</xdr:rowOff>
    </xdr:from>
    <xdr:to>
      <xdr:col>9</xdr:col>
      <xdr:colOff>228600</xdr:colOff>
      <xdr:row>72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72AEB29-A97B-4357-A721-2B675833D4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0856" y="10174176"/>
              <a:ext cx="5010394" cy="3351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39078</xdr:colOff>
      <xdr:row>14</xdr:row>
      <xdr:rowOff>29307</xdr:rowOff>
    </xdr:from>
    <xdr:to>
      <xdr:col>8</xdr:col>
      <xdr:colOff>595923</xdr:colOff>
      <xdr:row>34</xdr:row>
      <xdr:rowOff>48846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836259F-C1BD-DDCF-7722-AEC5A01573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1478" y="2772507"/>
              <a:ext cx="7560895" cy="3702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C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723C-67C7-4EC5-8D36-8F373C6B478C}">
  <sheetPr>
    <tabColor rgb="FFFFFF00"/>
  </sheetPr>
  <dimension ref="B2:J15"/>
  <sheetViews>
    <sheetView tabSelected="1" zoomScale="87" workbookViewId="0">
      <selection activeCell="B3" sqref="B3:J3"/>
    </sheetView>
  </sheetViews>
  <sheetFormatPr defaultRowHeight="14.5" x14ac:dyDescent="0.35"/>
  <cols>
    <col min="1" max="1" width="9.1796875" customWidth="1"/>
    <col min="2" max="2" width="12.1796875" customWidth="1"/>
    <col min="3" max="3" width="18" customWidth="1"/>
    <col min="4" max="4" width="17" customWidth="1"/>
    <col min="5" max="5" width="18.453125" customWidth="1"/>
    <col min="6" max="6" width="16.7265625" customWidth="1"/>
    <col min="7" max="7" width="18.08984375" customWidth="1"/>
    <col min="8" max="8" width="16.7265625" customWidth="1"/>
    <col min="9" max="9" width="18" customWidth="1"/>
    <col min="10" max="10" width="18.54296875" customWidth="1"/>
  </cols>
  <sheetData>
    <row r="2" spans="2:10" ht="15" thickBot="1" x14ac:dyDescent="0.4"/>
    <row r="3" spans="2:10" ht="21.5" thickBot="1" x14ac:dyDescent="0.55000000000000004">
      <c r="B3" s="7" t="s">
        <v>22</v>
      </c>
      <c r="C3" s="8"/>
      <c r="D3" s="8"/>
      <c r="E3" s="8"/>
      <c r="F3" s="8"/>
      <c r="G3" s="8"/>
      <c r="H3" s="8"/>
      <c r="I3" s="8"/>
      <c r="J3" s="9"/>
    </row>
    <row r="4" spans="2:10" ht="15" thickBot="1" x14ac:dyDescent="0.4">
      <c r="B4" s="1" t="s">
        <v>0</v>
      </c>
      <c r="C4" s="2" t="s">
        <v>1</v>
      </c>
      <c r="D4" s="3" t="s">
        <v>2</v>
      </c>
      <c r="E4" s="2" t="s">
        <v>3</v>
      </c>
      <c r="F4" s="3" t="s">
        <v>4</v>
      </c>
      <c r="G4" s="2" t="s">
        <v>5</v>
      </c>
      <c r="H4" s="3" t="s">
        <v>6</v>
      </c>
      <c r="I4" s="2" t="s">
        <v>7</v>
      </c>
      <c r="J4" s="3" t="s">
        <v>8</v>
      </c>
    </row>
    <row r="5" spans="2:10" ht="15" thickBot="1" x14ac:dyDescent="0.4">
      <c r="B5" s="1">
        <v>1</v>
      </c>
      <c r="C5" s="2">
        <v>0.31</v>
      </c>
      <c r="D5" s="3">
        <f>C5/1000</f>
        <v>3.1E-4</v>
      </c>
      <c r="E5" s="2">
        <v>0.81</v>
      </c>
      <c r="F5" s="3">
        <f>E5/1000</f>
        <v>8.1000000000000006E-4</v>
      </c>
      <c r="G5" s="2">
        <v>0.3</v>
      </c>
      <c r="H5" s="3">
        <f>G5/1000</f>
        <v>2.9999999999999997E-4</v>
      </c>
      <c r="I5" s="2">
        <v>0.82</v>
      </c>
      <c r="J5" s="3">
        <f>I5/1000</f>
        <v>8.1999999999999998E-4</v>
      </c>
    </row>
    <row r="6" spans="2:10" ht="15" thickBot="1" x14ac:dyDescent="0.4">
      <c r="B6" s="1">
        <v>2</v>
      </c>
      <c r="C6" s="2">
        <v>2.81</v>
      </c>
      <c r="D6" s="3">
        <f t="shared" ref="D6:D13" si="0">C6/1000</f>
        <v>2.81E-3</v>
      </c>
      <c r="E6" s="2">
        <v>1.77</v>
      </c>
      <c r="F6" s="3">
        <f t="shared" ref="F6:F13" si="1">E6/1000</f>
        <v>1.7700000000000001E-3</v>
      </c>
      <c r="G6" s="2">
        <v>1.08</v>
      </c>
      <c r="H6" s="3">
        <f t="shared" ref="H6:H15" si="2">G6/1000</f>
        <v>1.08E-3</v>
      </c>
      <c r="I6" s="2">
        <v>4.33</v>
      </c>
      <c r="J6" s="3">
        <f t="shared" ref="J6:J13" si="3">I6/1000</f>
        <v>4.3299999999999996E-3</v>
      </c>
    </row>
    <row r="7" spans="2:10" ht="15" thickBot="1" x14ac:dyDescent="0.4">
      <c r="B7" s="1">
        <v>3</v>
      </c>
      <c r="C7" s="2">
        <v>15.37</v>
      </c>
      <c r="D7" s="3">
        <f t="shared" si="0"/>
        <v>1.537E-2</v>
      </c>
      <c r="E7" s="2">
        <v>14.06</v>
      </c>
      <c r="F7" s="3">
        <f t="shared" si="1"/>
        <v>1.4060000000000001E-2</v>
      </c>
      <c r="G7" s="2">
        <v>6.74</v>
      </c>
      <c r="H7" s="3">
        <f t="shared" si="2"/>
        <v>6.7400000000000003E-3</v>
      </c>
      <c r="I7" s="2">
        <v>16.5</v>
      </c>
      <c r="J7" s="3">
        <f t="shared" si="3"/>
        <v>1.6500000000000001E-2</v>
      </c>
    </row>
    <row r="8" spans="2:10" ht="15" thickBot="1" x14ac:dyDescent="0.4">
      <c r="B8" s="1">
        <v>4</v>
      </c>
      <c r="C8" s="2">
        <v>55.16</v>
      </c>
      <c r="D8" s="3">
        <f t="shared" si="0"/>
        <v>5.5159999999999994E-2</v>
      </c>
      <c r="E8" s="2">
        <v>57.22</v>
      </c>
      <c r="F8" s="3">
        <f t="shared" si="1"/>
        <v>5.722E-2</v>
      </c>
      <c r="G8" s="2">
        <v>17.97</v>
      </c>
      <c r="H8" s="3">
        <f t="shared" si="2"/>
        <v>1.797E-2</v>
      </c>
      <c r="I8" s="2">
        <v>48.52</v>
      </c>
      <c r="J8" s="3">
        <f t="shared" si="3"/>
        <v>4.8520000000000001E-2</v>
      </c>
    </row>
    <row r="9" spans="2:10" ht="15" thickBot="1" x14ac:dyDescent="0.4">
      <c r="B9" s="1">
        <v>5</v>
      </c>
      <c r="C9" s="2">
        <v>448.93</v>
      </c>
      <c r="D9" s="3">
        <f t="shared" si="0"/>
        <v>0.44893</v>
      </c>
      <c r="E9" s="2">
        <v>531.98</v>
      </c>
      <c r="F9" s="3">
        <f t="shared" si="1"/>
        <v>0.53198000000000001</v>
      </c>
      <c r="G9" s="2">
        <v>97.63</v>
      </c>
      <c r="H9" s="3">
        <f t="shared" si="2"/>
        <v>9.7629999999999995E-2</v>
      </c>
      <c r="I9" s="2">
        <v>299.02999999999997</v>
      </c>
      <c r="J9" s="3">
        <f t="shared" si="3"/>
        <v>0.29902999999999996</v>
      </c>
    </row>
    <row r="10" spans="2:10" ht="15" thickBot="1" x14ac:dyDescent="0.4">
      <c r="B10" s="1">
        <v>6</v>
      </c>
      <c r="C10" s="2">
        <v>5767.33</v>
      </c>
      <c r="D10" s="3">
        <f t="shared" si="0"/>
        <v>5.7673300000000003</v>
      </c>
      <c r="E10" s="2">
        <v>5992.14</v>
      </c>
      <c r="F10" s="3">
        <f t="shared" si="1"/>
        <v>5.99214</v>
      </c>
      <c r="G10" s="2">
        <v>731.5</v>
      </c>
      <c r="H10" s="3">
        <f t="shared" si="2"/>
        <v>0.73150000000000004</v>
      </c>
      <c r="I10" s="2">
        <v>2074.89</v>
      </c>
      <c r="J10" s="3">
        <f t="shared" si="3"/>
        <v>2.0748899999999999</v>
      </c>
    </row>
    <row r="11" spans="2:10" ht="15" thickBot="1" x14ac:dyDescent="0.4">
      <c r="B11" s="1">
        <v>7</v>
      </c>
      <c r="C11" s="2">
        <v>66479.16</v>
      </c>
      <c r="D11" s="3">
        <f t="shared" si="0"/>
        <v>66.479160000000007</v>
      </c>
      <c r="E11" s="2">
        <v>64111.06</v>
      </c>
      <c r="F11" s="3">
        <f t="shared" si="1"/>
        <v>64.111059999999995</v>
      </c>
      <c r="G11" s="2">
        <v>5741.22</v>
      </c>
      <c r="H11" s="3">
        <f t="shared" si="2"/>
        <v>5.7412200000000002</v>
      </c>
      <c r="I11" s="2">
        <v>16623.310000000001</v>
      </c>
      <c r="J11" s="3">
        <f t="shared" si="3"/>
        <v>16.62331</v>
      </c>
    </row>
    <row r="12" spans="2:10" ht="15" thickBot="1" x14ac:dyDescent="0.4">
      <c r="B12" s="1">
        <v>8</v>
      </c>
      <c r="C12" s="2">
        <v>687091.05</v>
      </c>
      <c r="D12" s="3">
        <f t="shared" si="0"/>
        <v>687.09105</v>
      </c>
      <c r="E12" s="2">
        <v>807369.39</v>
      </c>
      <c r="F12" s="3">
        <f t="shared" si="1"/>
        <v>807.36939000000007</v>
      </c>
      <c r="G12" s="2">
        <v>45687.68</v>
      </c>
      <c r="H12" s="3">
        <f t="shared" si="2"/>
        <v>45.68768</v>
      </c>
      <c r="I12" s="2">
        <v>133702.98000000001</v>
      </c>
      <c r="J12" s="3">
        <f t="shared" si="3"/>
        <v>133.70298</v>
      </c>
    </row>
    <row r="13" spans="2:10" ht="15" thickBot="1" x14ac:dyDescent="0.4">
      <c r="B13" s="1">
        <v>9</v>
      </c>
      <c r="C13" s="2">
        <v>7146834.1200000001</v>
      </c>
      <c r="D13" s="3">
        <f t="shared" si="0"/>
        <v>7146.8341200000004</v>
      </c>
      <c r="E13" s="2">
        <v>10414826.039999999</v>
      </c>
      <c r="F13" s="3">
        <f t="shared" si="1"/>
        <v>10414.82604</v>
      </c>
      <c r="G13" s="2">
        <v>377052.56</v>
      </c>
      <c r="H13" s="3">
        <f t="shared" si="2"/>
        <v>377.05255999999997</v>
      </c>
      <c r="I13" s="2">
        <v>1090251.72</v>
      </c>
      <c r="J13" s="3">
        <f t="shared" si="3"/>
        <v>1090.25172</v>
      </c>
    </row>
    <row r="14" spans="2:10" ht="15" thickBot="1" x14ac:dyDescent="0.4">
      <c r="B14" s="1">
        <v>10</v>
      </c>
      <c r="C14" s="2" t="s">
        <v>9</v>
      </c>
      <c r="D14" s="3" t="s">
        <v>9</v>
      </c>
      <c r="E14" s="2" t="s">
        <v>9</v>
      </c>
      <c r="F14" s="3" t="s">
        <v>9</v>
      </c>
      <c r="G14" s="2">
        <v>3427498.05</v>
      </c>
      <c r="H14" s="3">
        <f t="shared" si="2"/>
        <v>3427.4980499999997</v>
      </c>
      <c r="I14" s="2">
        <v>9572225.3300000001</v>
      </c>
      <c r="J14" s="3">
        <f>I14/1000</f>
        <v>9572.2253299999993</v>
      </c>
    </row>
    <row r="15" spans="2:10" ht="15" thickBot="1" x14ac:dyDescent="0.4">
      <c r="B15" s="1">
        <v>11</v>
      </c>
      <c r="C15" s="2" t="s">
        <v>9</v>
      </c>
      <c r="D15" s="3" t="s">
        <v>9</v>
      </c>
      <c r="E15" s="2" t="s">
        <v>9</v>
      </c>
      <c r="F15" s="3" t="s">
        <v>9</v>
      </c>
      <c r="G15" s="2">
        <v>318330349.38999999</v>
      </c>
      <c r="H15" s="3">
        <f t="shared" si="2"/>
        <v>318330.34938999999</v>
      </c>
      <c r="I15" s="2" t="s">
        <v>9</v>
      </c>
      <c r="J15" s="3" t="s">
        <v>9</v>
      </c>
    </row>
  </sheetData>
  <mergeCells count="1">
    <mergeCell ref="B3:J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53DD-CD74-4D24-B9E6-1E876EA230BF}">
  <sheetPr>
    <tabColor rgb="FFEEE92E"/>
  </sheetPr>
  <dimension ref="B2:J15"/>
  <sheetViews>
    <sheetView zoomScale="76" workbookViewId="0">
      <selection activeCell="B3" sqref="B3:J3"/>
    </sheetView>
  </sheetViews>
  <sheetFormatPr defaultRowHeight="14.5" x14ac:dyDescent="0.35"/>
  <cols>
    <col min="1" max="1" width="9.1796875" customWidth="1"/>
    <col min="2" max="2" width="12.1796875" customWidth="1"/>
    <col min="3" max="3" width="18" customWidth="1"/>
    <col min="4" max="4" width="17" customWidth="1"/>
    <col min="5" max="5" width="18.453125" customWidth="1"/>
    <col min="6" max="6" width="16.7265625" customWidth="1"/>
    <col min="7" max="7" width="18.08984375" customWidth="1"/>
    <col min="8" max="8" width="16.7265625" customWidth="1"/>
    <col min="9" max="9" width="18" customWidth="1"/>
    <col min="10" max="10" width="18.54296875" customWidth="1"/>
  </cols>
  <sheetData>
    <row r="2" spans="2:10" ht="15" thickBot="1" x14ac:dyDescent="0.4"/>
    <row r="3" spans="2:10" ht="21.5" thickBot="1" x14ac:dyDescent="0.55000000000000004">
      <c r="B3" s="7" t="s">
        <v>23</v>
      </c>
      <c r="C3" s="8"/>
      <c r="D3" s="8"/>
      <c r="E3" s="8"/>
      <c r="F3" s="8"/>
      <c r="G3" s="8"/>
      <c r="H3" s="8"/>
      <c r="I3" s="8"/>
      <c r="J3" s="9"/>
    </row>
    <row r="4" spans="2:10" ht="15" thickBot="1" x14ac:dyDescent="0.4">
      <c r="B4" s="1" t="s">
        <v>0</v>
      </c>
      <c r="C4" s="2" t="s">
        <v>10</v>
      </c>
      <c r="D4" s="3" t="s">
        <v>11</v>
      </c>
      <c r="E4" s="2" t="s">
        <v>12</v>
      </c>
      <c r="F4" s="3" t="s">
        <v>13</v>
      </c>
      <c r="G4" s="2" t="s">
        <v>14</v>
      </c>
      <c r="H4" s="3" t="s">
        <v>15</v>
      </c>
      <c r="I4" s="2" t="s">
        <v>16</v>
      </c>
      <c r="J4" s="3" t="s">
        <v>17</v>
      </c>
    </row>
    <row r="5" spans="2:10" ht="15" thickBot="1" x14ac:dyDescent="0.4">
      <c r="B5" s="1">
        <v>1</v>
      </c>
      <c r="C5" s="2">
        <v>0.31</v>
      </c>
      <c r="D5" s="3">
        <f>C5/1000</f>
        <v>3.1E-4</v>
      </c>
      <c r="E5" s="2">
        <v>1.31</v>
      </c>
      <c r="F5" s="3">
        <f>E5/1000</f>
        <v>1.31E-3</v>
      </c>
      <c r="G5" s="2">
        <v>0.82</v>
      </c>
      <c r="H5" s="3">
        <f>G5/1000</f>
        <v>8.1999999999999998E-4</v>
      </c>
      <c r="I5" s="2">
        <v>0.98</v>
      </c>
      <c r="J5" s="3">
        <f>I5/1000</f>
        <v>9.7999999999999997E-4</v>
      </c>
    </row>
    <row r="6" spans="2:10" ht="15" thickBot="1" x14ac:dyDescent="0.4">
      <c r="B6" s="1">
        <v>2</v>
      </c>
      <c r="C6" s="2">
        <v>2.81</v>
      </c>
      <c r="D6" s="3">
        <f t="shared" ref="D6:D13" si="0">C6/1000</f>
        <v>2.81E-3</v>
      </c>
      <c r="E6" s="2">
        <v>3.89</v>
      </c>
      <c r="F6" s="3">
        <f t="shared" ref="F6:F13" si="1">E6/1000</f>
        <v>3.8900000000000002E-3</v>
      </c>
      <c r="G6" s="2">
        <v>4.33</v>
      </c>
      <c r="H6" s="3">
        <f t="shared" ref="H6:H14" si="2">G6/1000</f>
        <v>4.3299999999999996E-3</v>
      </c>
      <c r="I6" s="2">
        <v>5.79</v>
      </c>
      <c r="J6" s="3">
        <f t="shared" ref="J6:J13" si="3">I6/1000</f>
        <v>5.79E-3</v>
      </c>
    </row>
    <row r="7" spans="2:10" ht="15" thickBot="1" x14ac:dyDescent="0.4">
      <c r="B7" s="1">
        <v>3</v>
      </c>
      <c r="C7" s="2">
        <v>15.37</v>
      </c>
      <c r="D7" s="3">
        <f t="shared" si="0"/>
        <v>1.537E-2</v>
      </c>
      <c r="E7" s="2">
        <v>44.98</v>
      </c>
      <c r="F7" s="3">
        <f t="shared" si="1"/>
        <v>4.4979999999999999E-2</v>
      </c>
      <c r="G7" s="2">
        <v>16.5</v>
      </c>
      <c r="H7" s="3">
        <f t="shared" si="2"/>
        <v>1.6500000000000001E-2</v>
      </c>
      <c r="I7" s="2">
        <v>32.74</v>
      </c>
      <c r="J7" s="3">
        <f t="shared" si="3"/>
        <v>3.2740000000000005E-2</v>
      </c>
    </row>
    <row r="8" spans="2:10" ht="15" thickBot="1" x14ac:dyDescent="0.4">
      <c r="B8" s="1">
        <v>4</v>
      </c>
      <c r="C8" s="2">
        <v>55.16</v>
      </c>
      <c r="D8" s="3">
        <f t="shared" si="0"/>
        <v>5.5159999999999994E-2</v>
      </c>
      <c r="E8" s="2">
        <v>143.97</v>
      </c>
      <c r="F8" s="3">
        <f t="shared" si="1"/>
        <v>0.14396999999999999</v>
      </c>
      <c r="G8" s="2">
        <v>48.52</v>
      </c>
      <c r="H8" s="3">
        <f t="shared" si="2"/>
        <v>4.8520000000000001E-2</v>
      </c>
      <c r="I8" s="2">
        <v>118.63</v>
      </c>
      <c r="J8" s="3">
        <f t="shared" si="3"/>
        <v>0.11863</v>
      </c>
    </row>
    <row r="9" spans="2:10" ht="15" thickBot="1" x14ac:dyDescent="0.4">
      <c r="B9" s="1">
        <v>5</v>
      </c>
      <c r="C9" s="2">
        <v>448.93</v>
      </c>
      <c r="D9" s="3">
        <f t="shared" si="0"/>
        <v>0.44893</v>
      </c>
      <c r="E9" s="2">
        <v>1093.5</v>
      </c>
      <c r="F9" s="3">
        <f t="shared" si="1"/>
        <v>1.0934999999999999</v>
      </c>
      <c r="G9" s="2">
        <v>299.02999999999997</v>
      </c>
      <c r="H9" s="3">
        <f t="shared" si="2"/>
        <v>0.29902999999999996</v>
      </c>
      <c r="I9" s="2">
        <v>792.88</v>
      </c>
      <c r="J9" s="3">
        <f t="shared" si="3"/>
        <v>0.79288000000000003</v>
      </c>
    </row>
    <row r="10" spans="2:10" ht="15" thickBot="1" x14ac:dyDescent="0.4">
      <c r="B10" s="1">
        <v>6</v>
      </c>
      <c r="C10" s="2">
        <v>5767.33</v>
      </c>
      <c r="D10" s="3">
        <f t="shared" si="0"/>
        <v>5.7673300000000003</v>
      </c>
      <c r="E10" s="2">
        <v>18838.57</v>
      </c>
      <c r="F10" s="3">
        <f t="shared" si="1"/>
        <v>18.838570000000001</v>
      </c>
      <c r="G10" s="2">
        <v>2074.89</v>
      </c>
      <c r="H10" s="3">
        <f t="shared" si="2"/>
        <v>2.0748899999999999</v>
      </c>
      <c r="I10" s="2">
        <v>6126.15</v>
      </c>
      <c r="J10" s="3">
        <f t="shared" si="3"/>
        <v>6.12615</v>
      </c>
    </row>
    <row r="11" spans="2:10" ht="15" thickBot="1" x14ac:dyDescent="0.4">
      <c r="B11" s="1">
        <v>7</v>
      </c>
      <c r="C11" s="2">
        <v>66479.16</v>
      </c>
      <c r="D11" s="3">
        <f t="shared" si="0"/>
        <v>66.479160000000007</v>
      </c>
      <c r="E11" s="2">
        <v>172158.92</v>
      </c>
      <c r="F11" s="3">
        <f t="shared" si="1"/>
        <v>172.15892000000002</v>
      </c>
      <c r="G11" s="2">
        <v>16623.310000000001</v>
      </c>
      <c r="H11" s="3">
        <f t="shared" si="2"/>
        <v>16.62331</v>
      </c>
      <c r="I11" s="2">
        <v>48802.49</v>
      </c>
      <c r="J11" s="3">
        <f t="shared" si="3"/>
        <v>48.802489999999999</v>
      </c>
    </row>
    <row r="12" spans="2:10" ht="15" thickBot="1" x14ac:dyDescent="0.4">
      <c r="B12" s="1">
        <v>8</v>
      </c>
      <c r="C12" s="2">
        <v>687091.05</v>
      </c>
      <c r="D12" s="3">
        <f t="shared" si="0"/>
        <v>687.09105</v>
      </c>
      <c r="E12" s="2">
        <v>2282284.44</v>
      </c>
      <c r="F12" s="3">
        <f t="shared" si="1"/>
        <v>2282.2844399999999</v>
      </c>
      <c r="G12" s="2">
        <v>133702.98000000001</v>
      </c>
      <c r="H12" s="3">
        <f t="shared" si="2"/>
        <v>133.70298</v>
      </c>
      <c r="I12" s="2">
        <v>402553.61</v>
      </c>
      <c r="J12" s="3">
        <f t="shared" si="3"/>
        <v>402.55360999999999</v>
      </c>
    </row>
    <row r="13" spans="2:10" ht="15" thickBot="1" x14ac:dyDescent="0.4">
      <c r="B13" s="1">
        <v>9</v>
      </c>
      <c r="C13" s="2">
        <v>7146834.1200000001</v>
      </c>
      <c r="D13" s="3">
        <f t="shared" si="0"/>
        <v>7146.8341200000004</v>
      </c>
      <c r="E13" s="2">
        <v>17479747.890000001</v>
      </c>
      <c r="F13" s="3">
        <f t="shared" si="1"/>
        <v>17479.747890000002</v>
      </c>
      <c r="G13" s="2">
        <v>1090251.72</v>
      </c>
      <c r="H13" s="3">
        <f t="shared" si="2"/>
        <v>1090.25172</v>
      </c>
      <c r="I13" s="2">
        <v>3579703.64</v>
      </c>
      <c r="J13" s="3">
        <f t="shared" si="3"/>
        <v>3579.7036400000002</v>
      </c>
    </row>
    <row r="14" spans="2:10" ht="15" thickBot="1" x14ac:dyDescent="0.4">
      <c r="B14" s="1">
        <v>10</v>
      </c>
      <c r="C14" s="2" t="s">
        <v>9</v>
      </c>
      <c r="D14" s="3" t="s">
        <v>9</v>
      </c>
      <c r="E14" s="2" t="s">
        <v>9</v>
      </c>
      <c r="F14" s="3" t="s">
        <v>9</v>
      </c>
      <c r="G14" s="2">
        <v>9572225.3300000001</v>
      </c>
      <c r="H14" s="3">
        <f t="shared" si="2"/>
        <v>9572.2253299999993</v>
      </c>
      <c r="I14" s="2">
        <v>32324839.620000001</v>
      </c>
      <c r="J14" s="3">
        <f>I14/1000</f>
        <v>32324.839620000002</v>
      </c>
    </row>
    <row r="15" spans="2:10" ht="15" thickBot="1" x14ac:dyDescent="0.4">
      <c r="B15" s="1">
        <v>11</v>
      </c>
      <c r="C15" s="2" t="s">
        <v>9</v>
      </c>
      <c r="D15" s="3" t="s">
        <v>9</v>
      </c>
      <c r="E15" s="2" t="s">
        <v>9</v>
      </c>
      <c r="F15" s="3" t="s">
        <v>9</v>
      </c>
      <c r="G15" s="2" t="s">
        <v>9</v>
      </c>
      <c r="H15" s="3" t="s">
        <v>9</v>
      </c>
      <c r="I15" s="2" t="s">
        <v>9</v>
      </c>
      <c r="J15" s="3" t="s">
        <v>9</v>
      </c>
    </row>
  </sheetData>
  <mergeCells count="1">
    <mergeCell ref="B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A6E4-E733-471F-85C3-5B17F1A69D4F}">
  <sheetPr>
    <tabColor theme="7" tint="0.39997558519241921"/>
  </sheetPr>
  <dimension ref="B1:J13"/>
  <sheetViews>
    <sheetView zoomScale="88" zoomScaleNormal="69" workbookViewId="0">
      <selection activeCell="B2" sqref="B2:J2"/>
    </sheetView>
  </sheetViews>
  <sheetFormatPr defaultRowHeight="14.5" x14ac:dyDescent="0.35"/>
  <cols>
    <col min="2" max="2" width="11.6328125" customWidth="1"/>
    <col min="3" max="3" width="16.81640625" customWidth="1"/>
    <col min="4" max="4" width="17" customWidth="1"/>
    <col min="5" max="5" width="15.7265625" customWidth="1"/>
    <col min="6" max="6" width="18.1796875" customWidth="1"/>
    <col min="7" max="7" width="16.7265625" customWidth="1"/>
    <col min="8" max="8" width="15.81640625" customWidth="1"/>
    <col min="9" max="9" width="19.26953125" customWidth="1"/>
    <col min="10" max="10" width="17.6328125" customWidth="1"/>
  </cols>
  <sheetData>
    <row r="1" spans="2:10" ht="15" thickBot="1" x14ac:dyDescent="0.4"/>
    <row r="2" spans="2:10" ht="21.5" thickBot="1" x14ac:dyDescent="0.55000000000000004">
      <c r="B2" s="10" t="s">
        <v>24</v>
      </c>
      <c r="C2" s="11"/>
      <c r="D2" s="11"/>
      <c r="E2" s="11"/>
      <c r="F2" s="11"/>
      <c r="G2" s="11"/>
      <c r="H2" s="11"/>
      <c r="I2" s="11"/>
      <c r="J2" s="12"/>
    </row>
    <row r="3" spans="2:10" ht="15" thickBot="1" x14ac:dyDescent="0.4">
      <c r="B3" s="6" t="s">
        <v>0</v>
      </c>
      <c r="C3" s="4" t="s">
        <v>1</v>
      </c>
      <c r="D3" s="5" t="s">
        <v>18</v>
      </c>
      <c r="E3" s="4" t="s">
        <v>3</v>
      </c>
      <c r="F3" s="5" t="s">
        <v>19</v>
      </c>
      <c r="G3" s="4" t="s">
        <v>5</v>
      </c>
      <c r="H3" s="5" t="s">
        <v>20</v>
      </c>
      <c r="I3" s="4" t="s">
        <v>7</v>
      </c>
      <c r="J3" s="5" t="s">
        <v>21</v>
      </c>
    </row>
    <row r="4" spans="2:10" ht="15" thickBot="1" x14ac:dyDescent="0.4">
      <c r="B4" s="6">
        <v>1</v>
      </c>
      <c r="C4" s="4">
        <v>93814.21</v>
      </c>
      <c r="D4" s="5">
        <f>C4/1000/60</f>
        <v>1.5635701666666668</v>
      </c>
      <c r="E4" s="4">
        <v>4.05</v>
      </c>
      <c r="F4" s="5">
        <f>E4/1000/60</f>
        <v>6.7500000000000001E-5</v>
      </c>
      <c r="G4" s="4">
        <v>159424.85999999999</v>
      </c>
      <c r="H4" s="5">
        <f>G4/1000/60</f>
        <v>2.6570809999999998</v>
      </c>
      <c r="I4" s="4">
        <v>60692.94</v>
      </c>
      <c r="J4" s="5">
        <f>I4/1000/60</f>
        <v>1.011549</v>
      </c>
    </row>
    <row r="5" spans="2:10" ht="15" thickBot="1" x14ac:dyDescent="0.4">
      <c r="B5" s="6">
        <v>2</v>
      </c>
      <c r="C5" s="4">
        <v>229105.03</v>
      </c>
      <c r="D5" s="5">
        <f t="shared" ref="D5:D13" si="0">C5/1000/60</f>
        <v>3.8184171666666669</v>
      </c>
      <c r="E5" s="4">
        <v>14709.77</v>
      </c>
      <c r="F5" s="5">
        <f t="shared" ref="F5:F13" si="1">E5/1000/60</f>
        <v>0.24516283333333336</v>
      </c>
      <c r="G5" s="4">
        <v>228977.77</v>
      </c>
      <c r="H5" s="5">
        <f t="shared" ref="H5:H13" si="2">G5/1000/60</f>
        <v>3.8162961666666666</v>
      </c>
      <c r="I5" s="4">
        <v>60184.2</v>
      </c>
      <c r="J5" s="5">
        <f t="shared" ref="J5:J13" si="3">I5/1000/60</f>
        <v>1.0030699999999999</v>
      </c>
    </row>
    <row r="6" spans="2:10" ht="15" thickBot="1" x14ac:dyDescent="0.4">
      <c r="B6" s="6">
        <v>3</v>
      </c>
      <c r="C6" s="4">
        <v>75712.37</v>
      </c>
      <c r="D6" s="5">
        <f t="shared" si="0"/>
        <v>1.2618728333333331</v>
      </c>
      <c r="E6" s="4">
        <v>67.62</v>
      </c>
      <c r="F6" s="5">
        <f t="shared" si="1"/>
        <v>1.127E-3</v>
      </c>
      <c r="G6" s="4">
        <v>34623.4</v>
      </c>
      <c r="H6" s="5">
        <f t="shared" si="2"/>
        <v>0.57705666666666677</v>
      </c>
      <c r="I6" s="4">
        <v>59779.98</v>
      </c>
      <c r="J6" s="5">
        <f t="shared" si="3"/>
        <v>0.99633300000000002</v>
      </c>
    </row>
    <row r="7" spans="2:10" ht="15" thickBot="1" x14ac:dyDescent="0.4">
      <c r="B7" s="6">
        <v>4</v>
      </c>
      <c r="C7" s="4">
        <v>3951.68</v>
      </c>
      <c r="D7" s="5">
        <f t="shared" si="0"/>
        <v>6.5861333333333327E-2</v>
      </c>
      <c r="E7" s="4">
        <v>154112.45000000001</v>
      </c>
      <c r="F7" s="5">
        <f t="shared" si="1"/>
        <v>2.5685408333333339</v>
      </c>
      <c r="G7" s="4">
        <v>9335.67</v>
      </c>
      <c r="H7" s="5">
        <f t="shared" si="2"/>
        <v>0.1555945</v>
      </c>
      <c r="I7" s="4">
        <v>59708.05</v>
      </c>
      <c r="J7" s="5">
        <f t="shared" si="3"/>
        <v>0.99513416666666665</v>
      </c>
    </row>
    <row r="8" spans="2:10" ht="15" thickBot="1" x14ac:dyDescent="0.4">
      <c r="B8" s="6">
        <v>5</v>
      </c>
      <c r="C8" s="4">
        <v>4082.62</v>
      </c>
      <c r="D8" s="5">
        <f t="shared" si="0"/>
        <v>6.8043666666666655E-2</v>
      </c>
      <c r="E8" s="4">
        <v>51288.22</v>
      </c>
      <c r="F8" s="5">
        <f t="shared" si="1"/>
        <v>0.85480366666666674</v>
      </c>
      <c r="G8" s="4">
        <v>1778.56</v>
      </c>
      <c r="H8" s="5">
        <f t="shared" si="2"/>
        <v>2.9642666666666664E-2</v>
      </c>
      <c r="I8" s="4">
        <v>59763.02</v>
      </c>
      <c r="J8" s="5">
        <f t="shared" si="3"/>
        <v>0.99605033333333326</v>
      </c>
    </row>
    <row r="9" spans="2:10" ht="15" thickBot="1" x14ac:dyDescent="0.4">
      <c r="B9" s="6">
        <v>6</v>
      </c>
      <c r="C9" s="4">
        <v>170374.51</v>
      </c>
      <c r="D9" s="5">
        <f t="shared" si="0"/>
        <v>2.8395751666666671</v>
      </c>
      <c r="E9" s="4">
        <v>5.94</v>
      </c>
      <c r="F9" s="5">
        <f t="shared" si="1"/>
        <v>9.8999999999999994E-5</v>
      </c>
      <c r="G9" s="4">
        <v>91461.66</v>
      </c>
      <c r="H9" s="5">
        <f t="shared" si="2"/>
        <v>1.5243610000000001</v>
      </c>
      <c r="I9" s="4">
        <v>59748.86</v>
      </c>
      <c r="J9" s="5">
        <f t="shared" si="3"/>
        <v>0.99581433333333336</v>
      </c>
    </row>
    <row r="10" spans="2:10" ht="15" thickBot="1" x14ac:dyDescent="0.4">
      <c r="B10" s="6">
        <v>7</v>
      </c>
      <c r="C10" s="4">
        <v>15810.44</v>
      </c>
      <c r="D10" s="5">
        <f t="shared" si="0"/>
        <v>0.26350733333333332</v>
      </c>
      <c r="E10" s="4">
        <v>468.42</v>
      </c>
      <c r="F10" s="5">
        <f t="shared" si="1"/>
        <v>7.8069999999999997E-3</v>
      </c>
      <c r="G10" s="4">
        <v>95456.8</v>
      </c>
      <c r="H10" s="5">
        <f t="shared" si="2"/>
        <v>1.5909466666666667</v>
      </c>
      <c r="I10" s="4">
        <v>60028.13</v>
      </c>
      <c r="J10" s="5">
        <f t="shared" si="3"/>
        <v>1.0004688333333334</v>
      </c>
    </row>
    <row r="11" spans="2:10" ht="15" thickBot="1" x14ac:dyDescent="0.4">
      <c r="B11" s="6">
        <v>8</v>
      </c>
      <c r="C11" s="4">
        <v>6955.73</v>
      </c>
      <c r="D11" s="5">
        <f t="shared" si="0"/>
        <v>0.11592883333333333</v>
      </c>
      <c r="E11" s="4">
        <v>7286.95</v>
      </c>
      <c r="F11" s="5">
        <f t="shared" si="1"/>
        <v>0.12144916666666666</v>
      </c>
      <c r="G11" s="4">
        <v>14507.27</v>
      </c>
      <c r="H11" s="5">
        <f t="shared" si="2"/>
        <v>0.24178783333333334</v>
      </c>
      <c r="I11" s="4">
        <v>59769</v>
      </c>
      <c r="J11" s="5">
        <f t="shared" si="3"/>
        <v>0.99614999999999998</v>
      </c>
    </row>
    <row r="12" spans="2:10" ht="15" thickBot="1" x14ac:dyDescent="0.4">
      <c r="B12" s="6">
        <v>9</v>
      </c>
      <c r="C12" s="4">
        <v>91140.55</v>
      </c>
      <c r="D12" s="5">
        <f t="shared" si="0"/>
        <v>1.5190091666666667</v>
      </c>
      <c r="E12" s="4">
        <v>0.02</v>
      </c>
      <c r="F12" s="5">
        <f t="shared" si="1"/>
        <v>3.3333333333333335E-7</v>
      </c>
      <c r="G12" s="4">
        <v>89264.62</v>
      </c>
      <c r="H12" s="5">
        <f t="shared" si="2"/>
        <v>1.4877436666666666</v>
      </c>
      <c r="I12" s="4">
        <v>59756.47</v>
      </c>
      <c r="J12" s="5">
        <f t="shared" si="3"/>
        <v>0.99594116666666666</v>
      </c>
    </row>
    <row r="13" spans="2:10" ht="15" thickBot="1" x14ac:dyDescent="0.4">
      <c r="B13" s="6">
        <v>10</v>
      </c>
      <c r="C13" s="4">
        <v>30758.94</v>
      </c>
      <c r="D13" s="5">
        <f t="shared" si="0"/>
        <v>0.51264900000000002</v>
      </c>
      <c r="E13" s="4">
        <v>3280.08</v>
      </c>
      <c r="F13" s="5">
        <f t="shared" si="1"/>
        <v>5.4668000000000001E-2</v>
      </c>
      <c r="G13" s="4">
        <v>869.11</v>
      </c>
      <c r="H13" s="5">
        <f t="shared" si="2"/>
        <v>1.4485166666666667E-2</v>
      </c>
      <c r="I13" s="4">
        <v>60168.33</v>
      </c>
      <c r="J13" s="5">
        <f t="shared" si="3"/>
        <v>1.0028055</v>
      </c>
    </row>
  </sheetData>
  <mergeCells count="1">
    <mergeCell ref="B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4CDE-05A7-4870-9E15-92AF841C6E29}">
  <sheetPr>
    <tabColor rgb="FF00B0F0"/>
  </sheetPr>
  <dimension ref="B1:J13"/>
  <sheetViews>
    <sheetView zoomScale="83" workbookViewId="0">
      <selection activeCell="L23" sqref="L23"/>
    </sheetView>
  </sheetViews>
  <sheetFormatPr defaultRowHeight="14.5" x14ac:dyDescent="0.35"/>
  <cols>
    <col min="2" max="2" width="11.6328125" customWidth="1"/>
    <col min="3" max="3" width="16.81640625" customWidth="1"/>
    <col min="4" max="4" width="17" customWidth="1"/>
    <col min="5" max="5" width="15.7265625" customWidth="1"/>
    <col min="6" max="6" width="18.1796875" customWidth="1"/>
    <col min="7" max="7" width="16.7265625" customWidth="1"/>
    <col min="8" max="8" width="15.81640625" customWidth="1"/>
    <col min="9" max="9" width="19.26953125" customWidth="1"/>
    <col min="10" max="10" width="17.6328125" customWidth="1"/>
  </cols>
  <sheetData>
    <row r="1" spans="2:10" ht="15" thickBot="1" x14ac:dyDescent="0.4"/>
    <row r="2" spans="2:10" ht="21.5" thickBot="1" x14ac:dyDescent="0.55000000000000004">
      <c r="B2" s="10" t="s">
        <v>25</v>
      </c>
      <c r="C2" s="11"/>
      <c r="D2" s="11"/>
      <c r="E2" s="11"/>
      <c r="F2" s="11"/>
      <c r="G2" s="11"/>
      <c r="H2" s="11"/>
      <c r="I2" s="11"/>
      <c r="J2" s="12"/>
    </row>
    <row r="3" spans="2:10" ht="15" thickBot="1" x14ac:dyDescent="0.4">
      <c r="B3" s="6" t="s">
        <v>0</v>
      </c>
      <c r="C3" s="4" t="s">
        <v>1</v>
      </c>
      <c r="D3" s="5" t="s">
        <v>18</v>
      </c>
      <c r="E3" s="4" t="s">
        <v>3</v>
      </c>
      <c r="F3" s="5" t="s">
        <v>19</v>
      </c>
      <c r="G3" s="4" t="s">
        <v>5</v>
      </c>
      <c r="H3" s="5" t="s">
        <v>20</v>
      </c>
      <c r="I3" s="4" t="s">
        <v>7</v>
      </c>
      <c r="J3" s="5" t="s">
        <v>21</v>
      </c>
    </row>
    <row r="4" spans="2:10" ht="15" thickBot="1" x14ac:dyDescent="0.4">
      <c r="B4" s="6">
        <v>1</v>
      </c>
      <c r="C4" s="4">
        <v>1218.1199999999999</v>
      </c>
      <c r="D4" s="5">
        <f>C4/1000/60</f>
        <v>2.0301999999999997E-2</v>
      </c>
      <c r="E4" s="4">
        <v>8369.01</v>
      </c>
      <c r="F4" s="5">
        <f>E4/1000/60</f>
        <v>0.13948349999999998</v>
      </c>
      <c r="G4" s="4">
        <v>172809.62</v>
      </c>
      <c r="H4" s="5">
        <f>G4/1000/60</f>
        <v>2.8801603333333334</v>
      </c>
      <c r="I4" s="4">
        <v>61041.52</v>
      </c>
      <c r="J4" s="5">
        <f>I4/1000/60</f>
        <v>1.0173586666666667</v>
      </c>
    </row>
    <row r="5" spans="2:10" ht="15" thickBot="1" x14ac:dyDescent="0.4">
      <c r="B5" s="6">
        <v>2</v>
      </c>
      <c r="C5" s="4">
        <v>78965.41</v>
      </c>
      <c r="D5" s="5">
        <f t="shared" ref="D5:D13" si="0">C5/1000/60</f>
        <v>1.3160901666666667</v>
      </c>
      <c r="E5" s="4">
        <v>36078.61</v>
      </c>
      <c r="F5" s="5">
        <f t="shared" ref="F5:F13" si="1">E5/1000/60</f>
        <v>0.60131016666666659</v>
      </c>
      <c r="G5" s="4">
        <v>934.92</v>
      </c>
      <c r="H5" s="5">
        <f t="shared" ref="H5:H13" si="2">G5/1000/60</f>
        <v>1.5582E-2</v>
      </c>
      <c r="I5" s="4">
        <v>61063.54</v>
      </c>
      <c r="J5" s="5">
        <f t="shared" ref="J5:J13" si="3">I5/1000/60</f>
        <v>1.0177256666666668</v>
      </c>
    </row>
    <row r="6" spans="2:10" ht="15" thickBot="1" x14ac:dyDescent="0.4">
      <c r="B6" s="6">
        <v>3</v>
      </c>
      <c r="C6" s="4">
        <v>105834.83</v>
      </c>
      <c r="D6" s="5">
        <f t="shared" si="0"/>
        <v>1.7639138333333333</v>
      </c>
      <c r="E6" s="4">
        <v>146.96</v>
      </c>
      <c r="F6" s="5">
        <f t="shared" si="1"/>
        <v>2.4493333333333333E-3</v>
      </c>
      <c r="G6" s="4">
        <v>8451.0400000000009</v>
      </c>
      <c r="H6" s="5">
        <f t="shared" si="2"/>
        <v>0.14085066666666668</v>
      </c>
      <c r="I6" s="4">
        <v>60871.92</v>
      </c>
      <c r="J6" s="5">
        <f t="shared" si="3"/>
        <v>1.014532</v>
      </c>
    </row>
    <row r="7" spans="2:10" ht="15" thickBot="1" x14ac:dyDescent="0.4">
      <c r="B7" s="6">
        <v>4</v>
      </c>
      <c r="C7" s="4">
        <v>1417.97</v>
      </c>
      <c r="D7" s="5">
        <f t="shared" si="0"/>
        <v>2.3632833333333332E-2</v>
      </c>
      <c r="E7" s="4">
        <v>8473.74</v>
      </c>
      <c r="F7" s="5">
        <f t="shared" si="1"/>
        <v>0.14122899999999999</v>
      </c>
      <c r="G7" s="4">
        <v>28191.200000000001</v>
      </c>
      <c r="H7" s="5">
        <f t="shared" si="2"/>
        <v>0.46985333333333335</v>
      </c>
      <c r="I7" s="4">
        <v>71064.710000000006</v>
      </c>
      <c r="J7" s="5">
        <f t="shared" si="3"/>
        <v>1.1844118333333333</v>
      </c>
    </row>
    <row r="8" spans="2:10" ht="15" thickBot="1" x14ac:dyDescent="0.4">
      <c r="B8" s="6">
        <v>5</v>
      </c>
      <c r="C8" s="4">
        <v>52683.11</v>
      </c>
      <c r="D8" s="5">
        <f t="shared" si="0"/>
        <v>0.87805183333333336</v>
      </c>
      <c r="E8" s="4">
        <v>15823.28</v>
      </c>
      <c r="F8" s="5">
        <f t="shared" si="1"/>
        <v>0.26372133333333336</v>
      </c>
      <c r="G8" s="4">
        <v>55081.38</v>
      </c>
      <c r="H8" s="5">
        <f t="shared" si="2"/>
        <v>0.91802299999999992</v>
      </c>
      <c r="I8" s="4">
        <v>60335.72</v>
      </c>
      <c r="J8" s="5">
        <f t="shared" si="3"/>
        <v>1.0055953333333334</v>
      </c>
    </row>
    <row r="9" spans="2:10" ht="15" thickBot="1" x14ac:dyDescent="0.4">
      <c r="B9" s="6">
        <v>6</v>
      </c>
      <c r="C9" s="4">
        <v>109346.57</v>
      </c>
      <c r="D9" s="5">
        <f t="shared" si="0"/>
        <v>1.8224428333333336</v>
      </c>
      <c r="E9" s="4">
        <v>0.44</v>
      </c>
      <c r="F9" s="5">
        <f t="shared" si="1"/>
        <v>7.333333333333334E-6</v>
      </c>
      <c r="G9" s="4">
        <v>41073.480000000003</v>
      </c>
      <c r="H9" s="5">
        <f t="shared" si="2"/>
        <v>0.68455800000000011</v>
      </c>
      <c r="I9" s="4">
        <v>60511.360000000001</v>
      </c>
      <c r="J9" s="5">
        <f t="shared" si="3"/>
        <v>1.0085226666666667</v>
      </c>
    </row>
    <row r="10" spans="2:10" ht="15" thickBot="1" x14ac:dyDescent="0.4">
      <c r="B10" s="6">
        <v>7</v>
      </c>
      <c r="C10" s="4">
        <v>144733.76999999999</v>
      </c>
      <c r="D10" s="5">
        <f t="shared" si="0"/>
        <v>2.4122295</v>
      </c>
      <c r="E10" s="4">
        <v>1022.8</v>
      </c>
      <c r="F10" s="5">
        <f t="shared" si="1"/>
        <v>1.7046666666666665E-2</v>
      </c>
      <c r="G10" s="4">
        <v>138198.26999999999</v>
      </c>
      <c r="H10" s="5">
        <f t="shared" si="2"/>
        <v>2.3033044999999999</v>
      </c>
      <c r="I10" s="4">
        <v>113645.97</v>
      </c>
      <c r="J10" s="5">
        <f t="shared" si="3"/>
        <v>1.8940995</v>
      </c>
    </row>
    <row r="11" spans="2:10" ht="15" thickBot="1" x14ac:dyDescent="0.4">
      <c r="B11" s="6">
        <v>8</v>
      </c>
      <c r="C11" s="4">
        <v>1947.52</v>
      </c>
      <c r="D11" s="5">
        <f t="shared" si="0"/>
        <v>3.2458666666666663E-2</v>
      </c>
      <c r="E11" s="4">
        <v>40210.589999999997</v>
      </c>
      <c r="F11" s="5">
        <f t="shared" si="1"/>
        <v>0.67017649999999995</v>
      </c>
      <c r="G11" s="4">
        <v>22591.8</v>
      </c>
      <c r="H11" s="5">
        <f t="shared" si="2"/>
        <v>0.37652999999999998</v>
      </c>
      <c r="I11" s="4">
        <v>86511.18</v>
      </c>
      <c r="J11" s="5">
        <f t="shared" si="3"/>
        <v>1.4418529999999998</v>
      </c>
    </row>
    <row r="12" spans="2:10" ht="15" thickBot="1" x14ac:dyDescent="0.4">
      <c r="B12" s="6">
        <v>9</v>
      </c>
      <c r="C12" s="4">
        <v>58624.95</v>
      </c>
      <c r="D12" s="5">
        <f t="shared" si="0"/>
        <v>0.97708249999999996</v>
      </c>
      <c r="E12" s="4">
        <v>2327.79</v>
      </c>
      <c r="F12" s="5">
        <f t="shared" si="1"/>
        <v>3.8796499999999998E-2</v>
      </c>
      <c r="G12" s="4">
        <v>8704.19</v>
      </c>
      <c r="H12" s="5">
        <f t="shared" si="2"/>
        <v>0.14506983333333334</v>
      </c>
      <c r="I12" s="4">
        <v>61322.64</v>
      </c>
      <c r="J12" s="5">
        <f t="shared" si="3"/>
        <v>1.022044</v>
      </c>
    </row>
    <row r="13" spans="2:10" ht="15" thickBot="1" x14ac:dyDescent="0.4">
      <c r="B13" s="6">
        <v>10</v>
      </c>
      <c r="C13" s="4">
        <v>722.15</v>
      </c>
      <c r="D13" s="5">
        <f t="shared" si="0"/>
        <v>1.2035833333333332E-2</v>
      </c>
      <c r="E13" s="4">
        <v>44.01</v>
      </c>
      <c r="F13" s="5">
        <f t="shared" si="1"/>
        <v>7.3349999999999999E-4</v>
      </c>
      <c r="G13" s="4">
        <v>62640.7</v>
      </c>
      <c r="H13" s="5">
        <f t="shared" si="2"/>
        <v>1.0440116666666666</v>
      </c>
      <c r="I13" s="4">
        <v>61526.26</v>
      </c>
      <c r="J13" s="5">
        <f t="shared" si="3"/>
        <v>1.0254376666666667</v>
      </c>
    </row>
  </sheetData>
  <mergeCells count="1">
    <mergeCell ref="B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 1(a)</vt:lpstr>
      <vt:lpstr>Experiment 1(b)</vt:lpstr>
      <vt:lpstr>Experiment 2(a)</vt:lpstr>
      <vt:lpstr>Experiment 2(b)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Anastasis Zaxariou</dc:creator>
  <cp:lastModifiedBy>Anastasis Zaxariou</cp:lastModifiedBy>
  <dcterms:created xsi:type="dcterms:W3CDTF">2025-05-02T12:58:56Z</dcterms:created>
  <dcterms:modified xsi:type="dcterms:W3CDTF">2025-05-03T08:58:54Z</dcterms:modified>
</cp:coreProperties>
</file>